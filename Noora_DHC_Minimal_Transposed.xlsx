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rguson_SSH" sheetId="1" state="visible" r:id="rId3"/>
    <sheet name="SevOne_NMS" sheetId="2" state="visible" r:id="rId4"/>
    <sheet name="Noora_Health_Portal" sheetId="3" state="visible" r:id="rId5"/>
    <sheet name="Rasmus" sheetId="4" state="visible" r:id="rId6"/>
    <sheet name="Rasmus_Admin" sheetId="5" state="visible" r:id="rId7"/>
    <sheet name="Summary_CrossCheck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<sst xmlns="http://schemas.openxmlformats.org/spreadsheetml/2006/main" count="57" uniqueCount="50">
  <si>
    <t xml:space="preserve">Exporter Runtime (s)</t>
  </si>
  <si>
    <t xml:space="preserve">Exporter Runtime %Δ</t>
  </si>
  <si>
    <t xml:space="preserve">Fatal Errors Found</t>
  </si>
  <si>
    <t xml:space="preserve">0</t>
  </si>
  <si>
    <t xml:space="preserve">Notes</t>
  </si>
  <si>
    <t xml:space="preserve">Alerting Devices (count)</t>
  </si>
  <si>
    <t xml:space="preserve">Alerting Devices %Δ</t>
  </si>
  <si>
    <t xml:space="preserve">Cluster Capacity (%)</t>
  </si>
  <si>
    <t xml:space="preserve">Total Active Alerts (count)</t>
  </si>
  <si>
    <t xml:space="preserve">New Devices Added (count)</t>
  </si>
  <si>
    <t xml:space="preserve">Action Required - SNMP Failures (count)</t>
  </si>
  <si>
    <t xml:space="preserve">Action Required - Missing OS Support (count)</t>
  </si>
  <si>
    <t xml:space="preserve">Action Required - Missing Control Grouping (count)</t>
  </si>
  <si>
    <t xml:space="preserve">Provisioning In Flight (count)</t>
  </si>
  <si>
    <t xml:space="preserve">Enabled Objects (count)</t>
  </si>
  <si>
    <t xml:space="preserve">Enabled Objects %Δ</t>
  </si>
  <si>
    <t xml:space="preserve">Disabled Objects (count)</t>
  </si>
  <si>
    <t xml:space="preserve">Disabled Objects %Δ</t>
  </si>
  <si>
    <t xml:space="preserve">Enabled Indicators (count)</t>
  </si>
  <si>
    <t xml:space="preserve">Enabled Indicators %Δ</t>
  </si>
  <si>
    <t xml:space="preserve">Weekly Hardware Change Volume (count)</t>
  </si>
  <si>
    <t xml:space="preserve">External Data All Clear (Y/N)</t>
  </si>
  <si>
    <t xml:space="preserve">Y</t>
  </si>
  <si>
    <t xml:space="preserve">Daily Report Runtime (s)</t>
  </si>
  <si>
    <t xml:space="preserve">Daily Report Runtime %Δ</t>
  </si>
  <si>
    <t xml:space="preserve">Critical Alerts 24h (count)</t>
  </si>
  <si>
    <t xml:space="preserve">Critical Alerts %Δ</t>
  </si>
  <si>
    <t xml:space="preserve">All-Severity Alerts 24h (count)</t>
  </si>
  <si>
    <t xml:space="preserve">All-Severity Alerts %Δ</t>
  </si>
  <si>
    <t xml:space="preserve">Sandbox Check (Pass/Fail)</t>
  </si>
  <si>
    <t xml:space="preserve">Pass</t>
  </si>
  <si>
    <t xml:space="preserve">Concept</t>
  </si>
  <si>
    <t xml:space="preserve">App A</t>
  </si>
  <si>
    <t xml:space="preserve">App A Value</t>
  </si>
  <si>
    <t xml:space="preserve">App B</t>
  </si>
  <si>
    <t xml:space="preserve">App B Value</t>
  </si>
  <si>
    <t xml:space="preserve">Should Match?</t>
  </si>
  <si>
    <t xml:space="preserve">Equal?</t>
  </si>
  <si>
    <t xml:space="preserve">Headline alert count</t>
  </si>
  <si>
    <t xml:space="preserve">SevOne NMS Alerting Devices</t>
  </si>
  <si>
    <t xml:space="preserve">Rasmus Critical Alerts 24h</t>
  </si>
  <si>
    <t xml:space="preserve">No</t>
  </si>
  <si>
    <t xml:space="preserve">Enabled object count</t>
  </si>
  <si>
    <t xml:space="preserve">Noora Health Portal Enabled Objects</t>
  </si>
  <si>
    <t xml:space="preserve">SevOne NMS Enabled Objects (total)</t>
  </si>
  <si>
    <t xml:space="preserve">Not tracked yet</t>
  </si>
  <si>
    <t xml:space="preserve">Yes</t>
  </si>
  <si>
    <t xml:space="preserve">Script/report runtime</t>
  </si>
  <si>
    <t xml:space="preserve">Ferguson Exporter Runtime (s)</t>
  </si>
  <si>
    <t xml:space="preserve">Noora Health Portal Daily Report Runtime (s)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</si>
</sst>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%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</cols>
  <sheetData>
    <row r="1" customFormat="false" ht="15" hidden="false" customHeight="false" outlineLevel="0" collapsed="false">
      <c r="B1" s="1" t="n">
        <v>46027</v>
      </c>
      <c r="C1" s="1" t="n">
        <v>46028</v>
      </c>
    </row>
    <row r="2" customFormat="false" ht="15" hidden="false" customHeight="false" outlineLevel="0" collapsed="false">
      <c r="A2" s="0" t="s">
        <v>0</v>
      </c>
      <c r="B2" s="0" t="n">
        <v>2500</v>
      </c>
      <c r="C2" s="0" t="n">
        <v>2550</v>
      </c>
    </row>
    <row r="3" customFormat="false" ht="15" hidden="false" customHeight="false" outlineLevel="0" collapsed="false">
      <c r="A3" s="0" t="s">
        <v>1</v>
      </c>
      <c r="C3" s="2" t="n">
        <f aca="false">IF(AND(C2&lt;&gt;"",B2&lt;&gt;"",B2&lt;&gt;0),(C2-B2)/B2,"")</f>
        <v>0.02</v>
      </c>
    </row>
    <row r="4" customFormat="false" ht="15" hidden="false" customHeight="false" outlineLevel="0" collapsed="false">
      <c r="A4" s="0" t="s">
        <v>2</v>
      </c>
      <c r="C4" s="0" t="s">
        <v>3</v>
      </c>
    </row>
    <row r="5" customFormat="false" ht="15" hidden="false" customHeight="false" outlineLevel="0" collapsed="false">
      <c r="A5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14"/>
  </cols>
  <sheetData>
    <row r="1" customFormat="false" ht="15" hidden="false" customHeight="false" outlineLevel="0" collapsed="false">
      <c r="B1" s="1" t="n">
        <v>46027</v>
      </c>
      <c r="C1" s="1" t="n">
        <v>46028</v>
      </c>
    </row>
    <row r="2" customFormat="false" ht="15" hidden="false" customHeight="false" outlineLevel="0" collapsed="false">
      <c r="A2" s="0" t="s">
        <v>5</v>
      </c>
      <c r="B2" s="0" t="n">
        <v>80</v>
      </c>
      <c r="C2" s="0" t="n">
        <v>85</v>
      </c>
    </row>
    <row r="3" customFormat="false" ht="15" hidden="false" customHeight="false" outlineLevel="0" collapsed="false">
      <c r="A3" s="0" t="s">
        <v>6</v>
      </c>
      <c r="C3" s="2" t="n">
        <f aca="false">IF(AND(C2&lt;&gt;"",B2&lt;&gt;"",B2&lt;&gt;0),(C2-B2)/B2,"")</f>
        <v>0.0625</v>
      </c>
    </row>
    <row r="4" customFormat="false" ht="15" hidden="false" customHeight="false" outlineLevel="0" collapsed="false">
      <c r="A4" s="0" t="s">
        <v>7</v>
      </c>
      <c r="B4" s="2" t="n">
        <v>0.62</v>
      </c>
      <c r="C4" s="2" t="n">
        <v>0.63</v>
      </c>
    </row>
    <row r="5" customFormat="false" ht="15" hidden="false" customHeight="false" outlineLevel="0" collapsed="false">
      <c r="A5" s="0" t="s">
        <v>8</v>
      </c>
      <c r="B5" s="0" t="n">
        <v>310</v>
      </c>
      <c r="C5" s="0" t="n">
        <v>295</v>
      </c>
    </row>
    <row r="6" customFormat="false" ht="15" hidden="false" customHeight="false" outlineLevel="0" collapsed="false">
      <c r="A6" s="0" t="s">
        <v>9</v>
      </c>
      <c r="B6" s="0" t="n">
        <v>8</v>
      </c>
      <c r="C6" s="0" t="n">
        <v>15</v>
      </c>
    </row>
    <row r="7" customFormat="false" ht="15" hidden="false" customHeight="false" outlineLevel="0" collapsed="false">
      <c r="A7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4"/>
  </cols>
  <sheetData>
    <row r="1" customFormat="false" ht="15" hidden="false" customHeight="false" outlineLevel="0" collapsed="false">
      <c r="B1" s="1" t="n">
        <v>46027</v>
      </c>
      <c r="C1" s="1" t="n">
        <v>46028</v>
      </c>
    </row>
    <row r="2" customFormat="false" ht="15" hidden="false" customHeight="false" outlineLevel="0" collapsed="false">
      <c r="A2" s="0" t="s">
        <v>10</v>
      </c>
      <c r="B2" s="0" t="n">
        <v>5</v>
      </c>
      <c r="C2" s="0" t="n">
        <v>6</v>
      </c>
    </row>
    <row r="3" customFormat="false" ht="15" hidden="false" customHeight="false" outlineLevel="0" collapsed="false">
      <c r="A3" s="0" t="s">
        <v>11</v>
      </c>
      <c r="B3" s="0" t="n">
        <v>2</v>
      </c>
      <c r="C3" s="0" t="n">
        <v>2</v>
      </c>
    </row>
    <row r="4" customFormat="false" ht="15" hidden="false" customHeight="false" outlineLevel="0" collapsed="false">
      <c r="A4" s="0" t="s">
        <v>12</v>
      </c>
      <c r="B4" s="0" t="n">
        <v>1</v>
      </c>
      <c r="C4" s="0" t="n">
        <v>0</v>
      </c>
    </row>
    <row r="5" customFormat="false" ht="15" hidden="false" customHeight="false" outlineLevel="0" collapsed="false">
      <c r="A5" s="0" t="s">
        <v>13</v>
      </c>
      <c r="B5" s="0" t="n">
        <v>12</v>
      </c>
      <c r="C5" s="0" t="n">
        <v>18</v>
      </c>
    </row>
    <row r="6" customFormat="false" ht="15" hidden="false" customHeight="false" outlineLevel="0" collapsed="false">
      <c r="A6" s="0" t="s">
        <v>14</v>
      </c>
      <c r="B6" s="0" t="n">
        <v>210000</v>
      </c>
      <c r="C6" s="0" t="n">
        <v>210500</v>
      </c>
    </row>
    <row r="7" customFormat="false" ht="15" hidden="false" customHeight="false" outlineLevel="0" collapsed="false">
      <c r="A7" s="0" t="s">
        <v>15</v>
      </c>
      <c r="C7" s="2" t="n">
        <f aca="false">IF(AND(C6&lt;&gt;"",B6&lt;&gt;"",B6&lt;&gt;0),(C6-B6)/B6,"")</f>
        <v>0.00238095238095238</v>
      </c>
    </row>
    <row r="8" customFormat="false" ht="15" hidden="false" customHeight="false" outlineLevel="0" collapsed="false">
      <c r="A8" s="0" t="s">
        <v>16</v>
      </c>
      <c r="B8" s="0" t="n">
        <v>1975000</v>
      </c>
      <c r="C8" s="0" t="n">
        <v>1976000</v>
      </c>
    </row>
    <row r="9" customFormat="false" ht="15" hidden="false" customHeight="false" outlineLevel="0" collapsed="false">
      <c r="A9" s="0" t="s">
        <v>17</v>
      </c>
      <c r="C9" s="2" t="n">
        <f aca="false">IF(AND(C8&lt;&gt;"",B8&lt;&gt;"",B8&lt;&gt;0),(C8-B8)/B8,"")</f>
        <v>0.000506329113924051</v>
      </c>
    </row>
    <row r="10" customFormat="false" ht="15" hidden="false" customHeight="false" outlineLevel="0" collapsed="false">
      <c r="A10" s="0" t="s">
        <v>18</v>
      </c>
      <c r="B10" s="0" t="n">
        <v>3100000</v>
      </c>
      <c r="C10" s="0" t="n">
        <v>3105000</v>
      </c>
    </row>
    <row r="11" customFormat="false" ht="15" hidden="false" customHeight="false" outlineLevel="0" collapsed="false">
      <c r="A11" s="0" t="s">
        <v>19</v>
      </c>
      <c r="C11" s="2" t="n">
        <f aca="false">IF(AND(C10&lt;&gt;"",B10&lt;&gt;"",B10&lt;&gt;0),(C10-B10)/B10,"")</f>
        <v>0.00161290322580645</v>
      </c>
    </row>
    <row r="12" customFormat="false" ht="15" hidden="false" customHeight="false" outlineLevel="0" collapsed="false">
      <c r="A12" s="0" t="s">
        <v>20</v>
      </c>
      <c r="C12" s="0" t="n">
        <v>14800</v>
      </c>
    </row>
    <row r="13" customFormat="false" ht="15" hidden="false" customHeight="false" outlineLevel="0" collapsed="false">
      <c r="A13" s="0" t="s">
        <v>21</v>
      </c>
      <c r="B13" s="0" t="s">
        <v>22</v>
      </c>
      <c r="C13" s="0" t="s">
        <v>22</v>
      </c>
    </row>
    <row r="14" customFormat="false" ht="15" hidden="false" customHeight="false" outlineLevel="0" collapsed="false">
      <c r="A14" s="0" t="s">
        <v>23</v>
      </c>
      <c r="B14" s="0" t="n">
        <v>3.2</v>
      </c>
      <c r="C14" s="0" t="n">
        <v>3.5</v>
      </c>
    </row>
    <row r="15" customFormat="false" ht="15" hidden="false" customHeight="false" outlineLevel="0" collapsed="false">
      <c r="A15" s="0" t="s">
        <v>24</v>
      </c>
      <c r="C15" s="2" t="n">
        <f aca="false">IF(AND(C14&lt;&gt;"",B14&lt;&gt;"",B14&lt;&gt;0),(C14-B14)/B14,"")</f>
        <v>0.0937499999999999</v>
      </c>
    </row>
    <row r="16" customFormat="false" ht="15" hidden="false" customHeight="false" outlineLevel="0" collapsed="false">
      <c r="A16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</cols>
  <sheetData>
    <row r="1" customFormat="false" ht="15" hidden="false" customHeight="false" outlineLevel="0" collapsed="false">
      <c r="B1" s="1" t="n">
        <v>46027</v>
      </c>
      <c r="C1" s="1" t="n">
        <v>46028</v>
      </c>
    </row>
    <row r="2" customFormat="false" ht="15" hidden="false" customHeight="false" outlineLevel="0" collapsed="false">
      <c r="A2" s="0" t="s">
        <v>25</v>
      </c>
      <c r="B2" s="0" t="n">
        <v>95</v>
      </c>
      <c r="C2" s="0" t="n">
        <v>88</v>
      </c>
    </row>
    <row r="3" customFormat="false" ht="15" hidden="false" customHeight="false" outlineLevel="0" collapsed="false">
      <c r="A3" s="0" t="s">
        <v>26</v>
      </c>
      <c r="C3" s="2" t="n">
        <f aca="false">IF(AND(C2&lt;&gt;"",B2&lt;&gt;"",B2&lt;&gt;0),(C2-B2)/B2,"")</f>
        <v>-0.0736842105263158</v>
      </c>
    </row>
    <row r="4" customFormat="false" ht="15" hidden="false" customHeight="false" outlineLevel="0" collapsed="false">
      <c r="A4" s="0" t="s">
        <v>27</v>
      </c>
      <c r="B4" s="0" t="n">
        <v>140</v>
      </c>
      <c r="C4" s="0" t="n">
        <v>135</v>
      </c>
    </row>
    <row r="5" customFormat="false" ht="15" hidden="false" customHeight="false" outlineLevel="0" collapsed="false">
      <c r="A5" s="0" t="s">
        <v>28</v>
      </c>
      <c r="C5" s="2" t="n">
        <f aca="false">IF(AND(C4&lt;&gt;"",B4&lt;&gt;"",B4&lt;&gt;0),(C4-B4)/B4,"")</f>
        <v>-0.0357142857142857</v>
      </c>
    </row>
    <row r="6" customFormat="false" ht="15" hidden="false" customHeight="false" outlineLevel="0" collapsed="false">
      <c r="A6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4"/>
  </cols>
  <sheetData>
    <row r="1" customFormat="false" ht="15" hidden="false" customHeight="false" outlineLevel="0" collapsed="false">
      <c r="B1" s="1" t="n">
        <v>46027</v>
      </c>
      <c r="C1" s="1" t="n">
        <v>46028</v>
      </c>
    </row>
    <row r="2" customFormat="false" ht="15" hidden="false" customHeight="false" outlineLevel="0" collapsed="false">
      <c r="A2" s="0" t="s">
        <v>29</v>
      </c>
      <c r="B2" s="0" t="s">
        <v>30</v>
      </c>
      <c r="C2" s="0" t="s">
        <v>30</v>
      </c>
    </row>
    <row r="3" customFormat="false" ht="15" hidden="false" customHeight="false" outlineLevel="0" collapsed="false">
      <c r="A3" s="0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32"/>
    <col collapsed="false" customWidth="true" hidden="false" outlineLevel="0" max="6" min="5" style="0" width="14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n">
        <f aca="false">IFERROR(INDEX(SevOne_NMS!2:2,MATCH(9.99E+307,SevOne_NMS!2:2)),"")</f>
        <v>85</v>
      </c>
      <c r="D2" s="0" t="s">
        <v>40</v>
      </c>
      <c r="E2" s="0" t="n">
        <f aca="false">IFERROR(INDEX(Rasmus!2:2,MATCH(9.99E+307,Rasmus!2:2)),"")</f>
        <v>88</v>
      </c>
      <c r="F2" s="0" t="s">
        <v>41</v>
      </c>
      <c r="G2" s="0" t="str">
        <f aca="false">IF(C2=E2,"Y","N")</f>
        <v>N</v>
      </c>
    </row>
    <row r="3" customFormat="false" ht="15" hidden="false" customHeight="false" outlineLevel="0" collapsed="false">
      <c r="A3" s="0" t="s">
        <v>42</v>
      </c>
      <c r="B3" s="0" t="s">
        <v>43</v>
      </c>
      <c r="C3" s="0" t="n">
        <f aca="false">IFERROR(INDEX(Noora_Health_Portal!6:6,MATCH(9.99E+307,Noora_Health_Portal!6:6)),"")</f>
        <v>210500</v>
      </c>
      <c r="D3" s="0" t="s">
        <v>44</v>
      </c>
      <c r="E3" s="0" t="s">
        <v>45</v>
      </c>
      <c r="F3" s="0" t="s">
        <v>46</v>
      </c>
      <c r="G3" s="0" t="str">
        <f aca="false">IF(C3=E3,"Y","N")</f>
        <v>N</v>
      </c>
    </row>
    <row r="4" customFormat="false" ht="15" hidden="false" customHeight="false" outlineLevel="0" collapsed="false">
      <c r="A4" s="0" t="s">
        <v>47</v>
      </c>
      <c r="B4" s="0" t="s">
        <v>48</v>
      </c>
      <c r="C4" s="0" t="n">
        <f aca="false">IFERROR(INDEX(Ferguson_SSH!2:2,MATCH(9.99E+307,Ferguson_SSH!2:2)),"")</f>
        <v>2550</v>
      </c>
      <c r="D4" s="0" t="s">
        <v>49</v>
      </c>
      <c r="E4" s="0" t="n">
        <f aca="false">IFERROR(INDEX(Noora_Health_Portal!14:14,MATCH(9.99E+307,Noora_Health_Portal!14:14)),"")</f>
        <v>3.5</v>
      </c>
      <c r="F4" s="0" t="s">
        <v>41</v>
      </c>
      <c r="G4" s="0" t="str">
        <f aca="false">IF(C4=E4,"Y","N")</f>
        <v>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2026-08-21T04:17:57Z</dcterms:created>
  <dc:creator>openpyxl</dc:creator>
  <dc:description/>
  <dc:language>en-US</dc:language>
  <cp:lastModifiedBy/>
  <dcterms:modified xsi:type="dcterms:W3CDTF">2026-08-21T04:17:57Z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